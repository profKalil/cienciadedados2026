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4295" windowHeight="4635" activeTab="2"/>
  </bookViews>
  <sheets>
    <sheet name="grupo1" sheetId="1" r:id="rId1"/>
    <sheet name="grupo2" sheetId="2" r:id="rId2"/>
    <sheet name="resultados" sheetId="3" r:id="rId3"/>
  </sheets>
  <calcPr calcId="124519"/>
</workbook>
</file>

<file path=xl/calcChain.xml><?xml version="1.0" encoding="utf-8"?>
<calcChain xmlns="http://schemas.openxmlformats.org/spreadsheetml/2006/main">
  <c r="D3" i="3"/>
  <c r="D2"/>
  <c r="C4"/>
  <c r="C3"/>
  <c r="C2"/>
</calcChain>
</file>

<file path=xl/sharedStrings.xml><?xml version="1.0" encoding="utf-8"?>
<sst xmlns="http://schemas.openxmlformats.org/spreadsheetml/2006/main" count="19" uniqueCount="8">
  <si>
    <t>id</t>
  </si>
  <si>
    <t>item</t>
  </si>
  <si>
    <t>gravidade</t>
  </si>
  <si>
    <t xml:space="preserve">id </t>
  </si>
  <si>
    <t>1.1</t>
  </si>
  <si>
    <t>1.2</t>
  </si>
  <si>
    <t>1.3</t>
  </si>
  <si>
    <t>restante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</si>
</sst>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 sz="1800" b="1" i="0" u="none" strike="noStrike" baseline="0"/>
              <a:t>Escola e seus problemas ambientais e estruturais</a:t>
            </a:r>
            <a:endParaRPr lang="pt-BR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resultados!$C$1</c:f>
              <c:strCache>
                <c:ptCount val="1"/>
                <c:pt idx="0">
                  <c:v>gravidade</c:v>
                </c:pt>
              </c:strCache>
            </c:strRef>
          </c:tx>
          <c:dLbls>
            <c:showVal val="1"/>
          </c:dLbls>
          <c:cat>
            <c:strRef>
              <c:f>resultados!$B$2:$B$4</c:f>
              <c:strCache>
                <c:ptCount val="3"/>
                <c:pt idx="0">
                  <c:v>1.1</c:v>
                </c:pt>
                <c:pt idx="1">
                  <c:v>1.2</c:v>
                </c:pt>
                <c:pt idx="2">
                  <c:v>1.3</c:v>
                </c:pt>
              </c:strCache>
            </c:strRef>
          </c:cat>
          <c:val>
            <c:numRef>
              <c:f>resultados!$C$2:$C$4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axId val="6653440"/>
        <c:axId val="37298560"/>
      </c:barChart>
      <c:catAx>
        <c:axId val="6653440"/>
        <c:scaling>
          <c:orientation val="minMax"/>
        </c:scaling>
        <c:axPos val="b"/>
        <c:tickLblPos val="nextTo"/>
        <c:crossAx val="37298560"/>
        <c:crosses val="autoZero"/>
        <c:auto val="1"/>
        <c:lblAlgn val="ctr"/>
        <c:lblOffset val="100"/>
      </c:catAx>
      <c:valAx>
        <c:axId val="37298560"/>
        <c:scaling>
          <c:orientation val="minMax"/>
        </c:scaling>
        <c:axPos val="l"/>
        <c:majorGridlines/>
        <c:numFmt formatCode="General" sourceLinked="1"/>
        <c:tickLblPos val="nextTo"/>
        <c:crossAx val="66534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/>
            </a:pPr>
            <a:r>
              <a:rPr lang="pt-BR"/>
              <a:t>Item 1.1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explosion val="25"/>
          <c:val>
            <c:numRef>
              <c:f>resultados!$C$2:$D$2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dLbls>
          <c:showPercent val="1"/>
        </c:dLbls>
        <c:firstSliceAng val="0"/>
        <c:holeSize val="50"/>
      </c:doughnutChart>
    </c:plotArea>
    <c:legend>
      <c:legendPos val="t"/>
      <c:layout/>
      <c:txPr>
        <a:bodyPr/>
        <a:lstStyle/>
        <a:p>
          <a:pPr rtl="0">
            <a:defRPr/>
          </a:pPr>
          <a:endParaRPr lang="pt-BR"/>
        </a:p>
      </c:txPr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161925</xdr:rowOff>
    </xdr:from>
    <xdr:to>
      <xdr:col>11</xdr:col>
      <xdr:colOff>304800</xdr:colOff>
      <xdr:row>20</xdr:row>
      <xdr:rowOff>47625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390525</xdr:colOff>
      <xdr:row>3</xdr:row>
      <xdr:rowOff>9525</xdr:rowOff>
    </xdr:from>
    <xdr:to>
      <xdr:col>20</xdr:col>
      <xdr:colOff>85725</xdr:colOff>
      <xdr:row>17</xdr:row>
      <xdr:rowOff>85725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F7" sqref="F7"/>
    </sheetView>
  </sheetViews>
  <sheetFormatPr defaultRowHeight="15"/>
  <cols>
    <col min="1" max="1" width="9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4</v>
      </c>
      <c r="C2">
        <v>3</v>
      </c>
    </row>
    <row r="3" spans="1:3">
      <c r="A3">
        <v>2</v>
      </c>
      <c r="B3" t="s">
        <v>5</v>
      </c>
      <c r="C3">
        <v>5</v>
      </c>
    </row>
    <row r="4" spans="1:3">
      <c r="A4">
        <v>3</v>
      </c>
      <c r="B4" t="s">
        <v>6</v>
      </c>
      <c r="C4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D17" sqref="D17"/>
    </sheetView>
  </sheetViews>
  <sheetFormatPr defaultRowHeight="15"/>
  <sheetData>
    <row r="1" spans="1:3">
      <c r="A1" t="s">
        <v>3</v>
      </c>
      <c r="B1" t="s">
        <v>1</v>
      </c>
      <c r="C1" t="s">
        <v>2</v>
      </c>
    </row>
    <row r="2" spans="1:3">
      <c r="A2">
        <v>1</v>
      </c>
      <c r="B2" t="s">
        <v>4</v>
      </c>
      <c r="C2">
        <v>5</v>
      </c>
    </row>
    <row r="3" spans="1:3">
      <c r="A3">
        <v>2</v>
      </c>
      <c r="B3" t="s">
        <v>5</v>
      </c>
      <c r="C3">
        <v>1</v>
      </c>
    </row>
    <row r="4" spans="1:3">
      <c r="A4">
        <v>3</v>
      </c>
      <c r="B4" t="s">
        <v>6</v>
      </c>
      <c r="C4">
        <v>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B10" sqref="B10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7</v>
      </c>
    </row>
    <row r="2" spans="1:4">
      <c r="A2">
        <v>1</v>
      </c>
      <c r="B2" t="s">
        <v>4</v>
      </c>
      <c r="C2">
        <f>AVERAGE(grupo1!C2, grupo2!C2)</f>
        <v>4</v>
      </c>
      <c r="D2">
        <f>IF(C2&lt;=5, 5-C2, "")</f>
        <v>1</v>
      </c>
    </row>
    <row r="3" spans="1:4">
      <c r="A3">
        <v>2</v>
      </c>
      <c r="B3" t="s">
        <v>5</v>
      </c>
      <c r="C3">
        <f>IFERROR(AVERAGE(grupo1!C3, grupo2!C3), 0)</f>
        <v>3</v>
      </c>
      <c r="D3">
        <f>IF(C3="", "", 5-C3)</f>
        <v>2</v>
      </c>
    </row>
    <row r="4" spans="1:4">
      <c r="A4">
        <v>3</v>
      </c>
      <c r="B4" t="s">
        <v>6</v>
      </c>
      <c r="C4">
        <f>IFERROR(AVERAGE(grupo1!C4, grupo2!C4), 0)</f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grupo1</vt:lpstr>
      <vt:lpstr>grupo2</vt:lpstr>
      <vt:lpstr>resultados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2026-04-05T16:25:10Z</dcterms:created>
  <dcterms:modified xsi:type="dcterms:W3CDTF">2026-04-05T17:35:30Z</dcterms:modified>
</cp:coreProperties>
</file>